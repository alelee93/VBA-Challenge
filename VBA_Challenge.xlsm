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riconenergy-my.sharepoint.com/personal/leea_triconenergy_com/Documents/My Files/RICE/VBA/"/>
    </mc:Choice>
  </mc:AlternateContent>
  <xr:revisionPtr revIDLastSave="0" documentId="8_{6811735C-3CB9-4D3D-88FF-7D1A84F1A409}" xr6:coauthVersionLast="46" xr6:coauthVersionMax="46" xr10:uidLastSave="{00000000-0000-0000-0000-000000000000}"/>
  <bookViews>
    <workbookView xWindow="-28491" yWindow="1620" windowWidth="21942" windowHeight="10869" xr2:uid="{00000000-000D-0000-FFFF-FFFF00000000}"/>
  </bookViews>
  <sheets>
    <sheet name="All Stocks Analysis" sheetId="6" r:id="rId1"/>
    <sheet name="analysis" sheetId="7" r:id="rId2"/>
    <sheet name="2017" sheetId="1" r:id="rId3"/>
    <sheet name="2018" sheetId="2" r:id="rId4"/>
    <sheet name="test" sheetId="5" r:id="rId5"/>
    <sheet name="DQ Analysis" sheetId="4" r:id="rId6"/>
  </sheets>
  <definedNames>
    <definedName name="_xlnm._FilterDatabase" localSheetId="3" hidden="1">'2018'!$A$1:$H$3013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2" i="7" l="1"/>
  <c r="O32" i="7"/>
  <c r="P31" i="7"/>
  <c r="O31" i="7"/>
  <c r="P30" i="7"/>
  <c r="O30" i="7"/>
  <c r="P29" i="7"/>
  <c r="O29" i="7"/>
  <c r="P28" i="7"/>
  <c r="O28" i="7"/>
  <c r="P27" i="7"/>
  <c r="O27" i="7"/>
  <c r="P26" i="7"/>
  <c r="O26" i="7"/>
  <c r="P25" i="7"/>
  <c r="O25" i="7"/>
  <c r="P24" i="7"/>
  <c r="O24" i="7"/>
  <c r="P23" i="7"/>
  <c r="O23" i="7"/>
  <c r="P22" i="7"/>
  <c r="O22" i="7"/>
  <c r="P21" i="7"/>
  <c r="O21" i="7"/>
</calcChain>
</file>

<file path=xl/sharedStrings.xml><?xml version="1.0" encoding="utf-8"?>
<sst xmlns="http://schemas.openxmlformats.org/spreadsheetml/2006/main" count="12123" uniqueCount="532">
  <si>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</si>
  <si>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</si>
  <si>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</si>
  <si>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</si>
  <si>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</si>
  <si>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</si>
  <si>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</si>
  <si>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</si>
  <si>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</si>
  <si>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</si>
  <si>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</si>
  <si>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</si>
  <si>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</si>
  <si>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</si>
  <si>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</si>
  <si>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</si>
  <si>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</si>
  <si>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</si>
  <si>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</si>
  <si>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</si>
  <si>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</si>
  <si>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</si>
  <si>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</si>
  <si>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</si>
  <si>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</si>
  <si>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</si>
  <si>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</si>
  <si>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</si>
  <si>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</si>
  <si>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</si>
  <si>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</si>
  <si>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</si>
  <si>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</si>
  <si>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</si>
  <si>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</si>
  <si>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</si>
  <si>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</si>
  <si>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</si>
  <si>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</si>
  <si>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</si>
  <si>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</si>
  <si>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</si>
  <si>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</si>
  <si>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</si>
  <si>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</si>
  <si>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</si>
  <si>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</si>
  <si>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</si>
  <si>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</si>
  <si>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</si>
  <si>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</si>
  <si>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</si>
  <si>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</si>
  <si>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</si>
  <si>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</si>
  <si>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</si>
  <si>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</si>
  <si>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</si>
  <si>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</si>
  <si>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</si>
  <si>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</si>
  <si>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</si>
  <si>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</si>
  <si>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</si>
  <si>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</si>
  <si>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</si>
  <si>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</si>
  <si>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</si>
  <si>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</si>
  <si>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</si>
  <si>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</si>
  <si>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</si>
  <si>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</si>
  <si>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</si>
  <si>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</si>
  <si>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</si>
  <si>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</si>
  <si>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</si>
  <si>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</si>
  <si>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</si>
  <si>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</si>
  <si>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</si>
  <si>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</si>
  <si>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</si>
  <si>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</si>
  <si>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</si>
  <si>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</si>
  <si>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</si>
  <si>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</si>
  <si>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</si>
  <si>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</si>
  <si>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</si>
  <si>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</si>
  <si>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</si>
  <si>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</si>
  <si>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</si>
  <si>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</si>
  <si>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</si>
  <si>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</si>
  <si>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</si>
  <si>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</si>
  <si>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</si>
  <si>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</si>
  <si>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</si>
  <si>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</si>
  <si>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</si>
  <si>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</si>
  <si>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</si>
  <si>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</si>
  <si>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</si>
  <si>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</si>
  <si>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</si>
  <si>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</si>
  <si>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</si>
  <si>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</si>
  <si>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</si>
  <si>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</si>
  <si>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</si>
  <si>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</si>
  <si>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</si>
  <si>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</si>
  <si>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</si>
  <si>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</si>
  <si>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</si>
  <si>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</si>
  <si>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</si>
  <si>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</si>
  <si>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</si>
  <si>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</si>
  <si>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</si>
  <si>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</si>
  <si>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</si>
  <si>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</si>
  <si>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</si>
  <si>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</si>
  <si>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</si>
  <si>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</si>
  <si>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</si>
  <si>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</si>
  <si>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</si>
  <si>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</si>
  <si>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</si>
  <si>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</si>
  <si>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</si>
  <si>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</si>
  <si>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</si>
  <si>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</si>
  <si>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</si>
  <si>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</si>
  <si>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</si>
  <si>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</si>
  <si>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</si>
  <si>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</si>
  <si>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</si>
  <si>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</si>
  <si>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</si>
  <si>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</si>
  <si>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</si>
  <si>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</si>
  <si>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</si>
  <si>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</si>
  <si>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</si>
  <si>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</si>
  <si>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</si>
  <si>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</si>
  <si>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</si>
  <si>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</si>
  <si>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</si>
  <si>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</si>
  <si>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</si>
  <si>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</si>
  <si>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</si>
  <si>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</si>
  <si>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</si>
  <si>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</si>
  <si>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</si>
  <si>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</si>
  <si>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</si>
  <si>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</si>
  <si>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</si>
  <si>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</si>
  <si>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</si>
  <si>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</si>
  <si>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</si>
  <si>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</si>
  <si>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</si>
  <si>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</si>
  <si>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</si>
  <si>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</si>
  <si>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</si>
  <si>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</si>
  <si>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</si>
  <si>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</si>
  <si>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</si>
  <si>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</si>
  <si>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</si>
  <si>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</si>
  <si>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</si>
  <si>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</si>
  <si>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</si>
  <si>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</si>
  <si>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</si>
  <si>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</si>
  <si>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</si>
  <si>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</si>
  <si>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</si>
  <si>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</si>
  <si>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</si>
  <si>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</si>
  <si>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</si>
  <si>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</si>
  <si>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</si>
  <si>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</si>
  <si>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</si>
  <si>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</si>
  <si>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</si>
  <si>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</si>
  <si>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</si>
  <si>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</si>
  <si>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</si>
  <si>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</si>
  <si>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</si>
  <si>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</si>
  <si>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</si>
  <si>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</si>
  <si>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</si>
  <si>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</si>
  <si>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</si>
  <si>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</si>
  <si>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</si>
  <si>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</si>
  <si>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</si>
  <si>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</si>
  <si>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</si>
  <si>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</si>
  <si>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</si>
  <si>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</si>
  <si>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</si>
  <si>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</si>
  <si>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</si>
  <si>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</si>
  <si>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</si>
  <si>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</si>
  <si>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</si>
  <si>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</si>
  <si>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</si>
  <si>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</si>
  <si>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</si>
  <si>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</si>
  <si>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</si>
  <si>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</si>
  <si>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</si>
  <si>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</si>
  <si>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</si>
  <si>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</si>
  <si>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</si>
  <si>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</si>
  <si>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</si>
  <si>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</si>
  <si>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</si>
  <si>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</si>
  <si>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</si>
  <si>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</si>
  <si>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</si>
  <si>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</si>
  <si>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</si>
  <si>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</si>
  <si>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</si>
  <si>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</si>
  <si>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</si>
  <si>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</si>
  <si>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</si>
  <si>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</si>
  <si>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</si>
  <si>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</si>
  <si>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</si>
  <si>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</si>
  <si>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</si>
  <si>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</si>
  <si>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</si>
  <si>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</si>
  <si>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</si>
  <si>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</si>
  <si>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</si>
  <si>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</si>
  <si>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</si>
  <si>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</si>
  <si>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</si>
  <si>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</si>
  <si>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</si>
  <si>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</si>
  <si>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</si>
  <si>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</si>
  <si>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</si>
  <si>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</si>
  <si>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</si>
  <si>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</si>
  <si>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</si>
  <si>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</si>
  <si>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</si>
  <si>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</si>
  <si>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</si>
  <si>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</si>
  <si>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</si>
  <si>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</si>
  <si>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</si>
  <si>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</si>
  <si>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</si>
  <si>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</si>
  <si>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</si>
  <si>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</si>
  <si>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</si>
  <si>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</si>
  <si>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</si>
  <si>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</si>
  <si>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</si>
  <si>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</si>
  <si>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</si>
  <si>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</si>
  <si>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</si>
  <si>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</si>
  <si>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</si>
  <si>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</si>
  <si>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</si>
  <si>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</si>
  <si>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</si>
  <si>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</si>
  <si>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</si>
  <si>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</si>
  <si>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</si>
  <si>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</si>
  <si>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</si>
  <si>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</si>
  <si>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</si>
  <si>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</si>
  <si>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</si>
  <si>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</si>
  <si>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</si>
  <si>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</si>
  <si>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</si>
  <si>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</si>
  <si>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</si>
  <si>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</si>
  <si>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</si>
  <si>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</si>
  <si>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</si>
  <si>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</si>
  <si>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</si>
  <si>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</si>
  <si>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</si>
  <si>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</si>
  <si>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</si>
  <si>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</si>
  <si>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</si>
  <si>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</si>
  <si>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</si>
  <si>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</si>
  <si>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</si>
  <si>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</si>
  <si>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</si>
  <si>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</si>
  <si>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</si>
  <si>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</si>
  <si>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</si>
  <si>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</si>
  <si>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</si>
  <si>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</si>
  <si>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</si>
  <si>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</si>
  <si>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</si>
  <si>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</si>
  <si>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</si>
  <si>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</si>
  <si>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</si>
  <si>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</si>
  <si>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</si>
  <si>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</si>
  <si>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</si>
  <si>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</si>
  <si>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</si>
  <si>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</si>
  <si>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</si>
  <si>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</si>
  <si>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</si>
  <si>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</si>
  <si>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</si>
  <si>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</si>
  <si>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</si>
  <si>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</si>
  <si>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</si>
  <si>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</si>
  <si>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</si>
  <si>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</si>
  <si>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</si>
  <si>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</si>
  <si>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</si>
  <si>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</si>
  <si>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</si>
  <si>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</si>
  <si>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</si>
  <si>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</si>
  <si>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</si>
  <si>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</si>
  <si>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</si>
  <si>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</si>
  <si>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</si>
  <si>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</si>
  <si>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</si>
  <si>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</si>
  <si>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</si>
  <si>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</si>
  <si>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</si>
  <si>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</si>
  <si>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</si>
  <si>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</si>
  <si>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</si>
  <si>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</si>
  <si>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</si>
  <si>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</si>
  <si>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</si>
  <si>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</si>
  <si>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</si>
  <si>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</si>
  <si>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</si>
  <si>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</si>
  <si>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</si>
  <si>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</si>
  <si>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</si>
  <si>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</si>
  <si>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</si>
  <si>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</si>
  <si>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</si>
  <si>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</si>
  <si>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</si>
  <si>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</si>
  <si>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</si>
  <si>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</si>
  <si>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</si>
  <si>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</si>
  <si>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</si>
  <si>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</si>
  <si>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</si>
  <si>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</si>
  <si>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</si>
  <si>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</si>
  <si>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</si>
  <si>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</si>
  <si>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</si>
  <si>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</si>
  <si>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</si>
  <si>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</si>
  <si>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</si>
  <si>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</si>
  <si>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</si>
  <si>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</si>
  <si>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</si>
  <si>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</si>
  <si>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</si>
  <si>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</si>
  <si>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</si>
  <si>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</si>
  <si>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</si>
  <si>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</si>
  <si>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</si>
  <si>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</si>
  <si>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</si>
  <si>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</si>
  <si>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</si>
  <si>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</si>
  <si>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</si>
  <si>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</si>
  <si>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</si>
  <si>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</si>
  <si>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</si>
  <si>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</si>
  <si>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</si>
  <si>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</si>
  <si>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</si>
  <si>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</si>
  <si>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</si>
  <si>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</si>
  <si>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</si>
  <si>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</si>
  <si>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</si>
  <si>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</si>
  <si>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</si>
  <si>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</si>
  <si>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</si>
  <si>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</si>
  <si>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</si>
  <si>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</si>
  <si>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</si>
  <si>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</si>
  <si>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</si>
  <si>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</si>
  <si>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</si>
  <si>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</si>
  <si>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</si>
  <si>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</si>
  <si>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</si>
  <si>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</si>
  <si>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</si>
  <si>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</si>
  <si>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</si>
  <si>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</si>
  <si>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</si>
  <si>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</si>
  <si>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</si>
  <si>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</si>
  <si>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</si>
  <si>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</si>
  <si>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</si>
  <si>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</si>
  <si>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</si>
  <si>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</si>
  <si>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</si>
  <si>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</si>
  <si>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</si>
  <si>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</si>
  <si>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</si>
  <si>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</si>
  <si>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</si>
  <si>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</si>
  <si>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</si>
  <si>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</si>
  <si>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</si>
  <si>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VOLUME DIFF</t>
  </si>
  <si>
    <t>RETUNR DIFF</t>
  </si>
  <si>
    <t>2018-2017</t>
  </si>
  <si>
    <t>*</t>
  </si>
  <si>
    <t>All Stocks (2017).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</si>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</sst>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 applyFill="1" applyBorder="1"/>
    <xf numFmtId="9" fontId="0" fillId="0" borderId="0" xfId="1" applyFont="1"/>
    <xf numFmtId="9" fontId="0" fillId="4" borderId="0" xfId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163286</xdr:colOff>
          <xdr:row>3</xdr:row>
          <xdr:rowOff>108857</xdr:rowOff>
        </xdr:from>
        <xdr:to>
          <xdr:col>8</xdr:col>
          <xdr:colOff>315686</xdr:colOff>
          <xdr:row>7</xdr:row>
          <xdr:rowOff>141514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217714</xdr:colOff>
          <xdr:row>9</xdr:row>
          <xdr:rowOff>38100</xdr:rowOff>
        </xdr:from>
        <xdr:to>
          <xdr:col>8</xdr:col>
          <xdr:colOff>283029</xdr:colOff>
          <xdr:row>12</xdr:row>
          <xdr:rowOff>119743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239486</xdr:colOff>
          <xdr:row>14</xdr:row>
          <xdr:rowOff>70757</xdr:rowOff>
        </xdr:from>
        <xdr:to>
          <xdr:col>8</xdr:col>
          <xdr:colOff>299357</xdr:colOff>
          <xdr:row>17</xdr:row>
          <xdr:rowOff>146957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 Refactored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163286</xdr:colOff>
          <xdr:row>3</xdr:row>
          <xdr:rowOff>108857</xdr:rowOff>
        </xdr:from>
        <xdr:to>
          <xdr:col>8</xdr:col>
          <xdr:colOff>315686</xdr:colOff>
          <xdr:row>7</xdr:row>
          <xdr:rowOff>141514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C33FB0E-82D6-4FF2-87C5-70031B7CA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217714</xdr:colOff>
          <xdr:row>9</xdr:row>
          <xdr:rowOff>38100</xdr:rowOff>
        </xdr:from>
        <xdr:to>
          <xdr:col>8</xdr:col>
          <xdr:colOff>283029</xdr:colOff>
          <xdr:row>12</xdr:row>
          <xdr:rowOff>119743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AE7425DB-918E-4950-A69F-56F66F848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125186</xdr:colOff>
          <xdr:row>3</xdr:row>
          <xdr:rowOff>92529</xdr:rowOff>
        </xdr:from>
        <xdr:to>
          <xdr:col>8</xdr:col>
          <xdr:colOff>261257</xdr:colOff>
          <xdr:row>7</xdr:row>
          <xdr:rowOff>130629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70757</xdr:colOff>
          <xdr:row>8</xdr:row>
          <xdr:rowOff>97971</xdr:rowOff>
        </xdr:from>
        <xdr:to>
          <xdr:col>8</xdr:col>
          <xdr:colOff>266700</xdr:colOff>
          <xdr:row>12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DE21E-1E4C-4D6D-A7AD-2599B59918DD}">
  <sheetPr codeName="Sheet5">
    <tabColor rgb="FFFF0000"/>
  </sheetPr>
  <dimension ref="A1:C15"/>
  <sheetViews>
    <sheetView tabSelected="1" workbookViewId="0"/>
  </sheetViews>
  <sheetFormatPr defaultRowHeight="14.6" x14ac:dyDescent="0.4"/>
  <cols>
    <col min="2" max="2" width="16.53515625" bestFit="1" customWidth="1"/>
    <col min="3" max="3" width="20.23046875" customWidth="1"/>
    <col min="10" max="10" width="14.3828125" bestFit="1" customWidth="1"/>
    <col min="11" max="11" width="16.53515625" bestFit="1" customWidth="1"/>
    <col min="12" max="12" width="6.84375" bestFit="1" customWidth="1"/>
    <col min="13" max="13" width="16.53515625" bestFit="1" customWidth="1"/>
    <col min="14" max="14" width="6.53515625" bestFit="1" customWidth="1"/>
    <col min="15" max="15" width="16.23046875" bestFit="1" customWidth="1"/>
    <col min="16" max="16" width="11.84375" bestFit="1" customWidth="1"/>
    <col min="18" max="18" width="9.4609375" bestFit="1" customWidth="1"/>
    <col min="19" max="19" width="10.765625" bestFit="1" customWidth="1"/>
    <col min="21" max="21" width="10.3828125" bestFit="1" customWidth="1"/>
  </cols>
  <sheetData>
    <row r="1" spans="1:3" x14ac:dyDescent="0.4">
      <c r="A1" t="s">
        <v>531</v>
      </c>
    </row>
    <row r="3" spans="1:3" x14ac:dyDescent="0.4">
      <c r="A3" s="2" t="s">
        <v>0</v>
      </c>
      <c r="B3" s="2" t="s">
        <v>524</v>
      </c>
      <c r="C3" s="2" t="s">
        <v>525</v>
      </c>
    </row>
    <row r="4" spans="1:3" x14ac:dyDescent="0.4">
      <c r="A4" t="s">
        <v>8</v>
      </c>
      <c r="B4" s="3">
        <v>136070900</v>
      </c>
      <c r="C4" s="4">
        <v>8.9368253946304321E-2</v>
      </c>
    </row>
    <row r="5" spans="1:3" x14ac:dyDescent="0.4">
      <c r="A5" t="s">
        <v>9</v>
      </c>
      <c r="B5" s="3">
        <v>310592800</v>
      </c>
      <c r="C5" s="4">
        <v>0.33070248365402222</v>
      </c>
    </row>
    <row r="6" spans="1:3" x14ac:dyDescent="0.4">
      <c r="A6" t="s">
        <v>10</v>
      </c>
      <c r="B6" s="3">
        <v>35796200</v>
      </c>
      <c r="C6" s="4">
        <v>1.9944583177566528</v>
      </c>
    </row>
    <row r="7" spans="1:3" x14ac:dyDescent="0.4">
      <c r="A7" t="s">
        <v>11</v>
      </c>
      <c r="B7" s="3">
        <v>221772100</v>
      </c>
      <c r="C7" s="4">
        <v>1.2952382564544678</v>
      </c>
    </row>
    <row r="8" spans="1:3" x14ac:dyDescent="0.4">
      <c r="A8" t="s">
        <v>12</v>
      </c>
      <c r="B8" s="3">
        <v>684181400</v>
      </c>
      <c r="C8" s="4">
        <v>1.0131185054779053</v>
      </c>
    </row>
    <row r="9" spans="1:3" x14ac:dyDescent="0.4">
      <c r="A9" t="s">
        <v>13</v>
      </c>
      <c r="B9" s="3">
        <v>80949300</v>
      </c>
      <c r="C9" s="4">
        <v>0.2583681046962738</v>
      </c>
    </row>
    <row r="10" spans="1:3" x14ac:dyDescent="0.4">
      <c r="A10" t="s">
        <v>14</v>
      </c>
      <c r="B10" s="3">
        <v>191632200</v>
      </c>
      <c r="C10" s="4">
        <v>0.53870755434036255</v>
      </c>
    </row>
    <row r="11" spans="1:3" x14ac:dyDescent="0.4">
      <c r="A11" t="s">
        <v>15</v>
      </c>
      <c r="B11" s="3">
        <v>267681300</v>
      </c>
      <c r="C11" s="4">
        <v>5.5456161499023438E-2</v>
      </c>
    </row>
    <row r="12" spans="1:3" x14ac:dyDescent="0.4">
      <c r="A12" t="s">
        <v>16</v>
      </c>
      <c r="B12" s="3">
        <v>206885200</v>
      </c>
      <c r="C12" s="4">
        <v>1.8446969985961914</v>
      </c>
    </row>
    <row r="13" spans="1:3" x14ac:dyDescent="0.4">
      <c r="A13" t="s">
        <v>17</v>
      </c>
      <c r="B13" s="3">
        <v>782187000</v>
      </c>
      <c r="C13" s="4">
        <v>0.23065699636936188</v>
      </c>
    </row>
    <row r="14" spans="1:3" x14ac:dyDescent="0.4">
      <c r="A14" t="s">
        <v>18</v>
      </c>
      <c r="B14" s="3">
        <v>139402800</v>
      </c>
      <c r="C14" s="5">
        <v>-7.2148971259593964E-2</v>
      </c>
    </row>
    <row r="15" spans="1:3" x14ac:dyDescent="0.4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Worksheet">
                <anchor moveWithCells="1">
                  <from>
                    <xdr:col>5</xdr:col>
                    <xdr:colOff>163286</xdr:colOff>
                    <xdr:row>3</xdr:row>
                    <xdr:rowOff>108857</xdr:rowOff>
                  </from>
                  <to>
                    <xdr:col>8</xdr:col>
                    <xdr:colOff>315686</xdr:colOff>
                    <xdr:row>7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llStocksAnalysis">
                <anchor moveWithCells="1">
                  <from>
                    <xdr:col>5</xdr:col>
                    <xdr:colOff>217714</xdr:colOff>
                    <xdr:row>9</xdr:row>
                    <xdr:rowOff>38100</xdr:rowOff>
                  </from>
                  <to>
                    <xdr:col>8</xdr:col>
                    <xdr:colOff>283029</xdr:colOff>
                    <xdr:row>12</xdr:row>
                    <xdr:rowOff>119743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239486</xdr:colOff>
                    <xdr:row>14</xdr:row>
                    <xdr:rowOff>70757</xdr:rowOff>
                  </from>
                  <to>
                    <xdr:col>8</xdr:col>
                    <xdr:colOff>299357</xdr:colOff>
                    <xdr:row>17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E5DAB-BE25-4967-B22F-37E314F18789}">
  <sheetPr codeName="Sheet6"/>
  <dimension ref="A1:U32"/>
  <sheetViews>
    <sheetView topLeftCell="A10" workbookViewId="0">
      <selection activeCell="O13" sqref="O13"/>
    </sheetView>
  </sheetViews>
  <sheetFormatPr defaultRowHeight="14.6" x14ac:dyDescent="0.4"/>
  <cols>
    <col min="2" max="2" width="16.53515625" bestFit="1" customWidth="1"/>
    <col min="3" max="3" width="20.23046875" customWidth="1"/>
    <col min="10" max="10" width="14.3828125" bestFit="1" customWidth="1"/>
    <col min="11" max="11" width="16.53515625" bestFit="1" customWidth="1"/>
    <col min="12" max="12" width="6.84375" bestFit="1" customWidth="1"/>
    <col min="13" max="13" width="16.53515625" bestFit="1" customWidth="1"/>
    <col min="14" max="14" width="6.53515625" bestFit="1" customWidth="1"/>
    <col min="15" max="15" width="16.23046875" bestFit="1" customWidth="1"/>
    <col min="16" max="16" width="11.84375" bestFit="1" customWidth="1"/>
    <col min="18" max="18" width="9.4609375" bestFit="1" customWidth="1"/>
    <col min="19" max="19" width="10.765625" bestFit="1" customWidth="1"/>
    <col min="21" max="21" width="10.3828125" bestFit="1" customWidth="1"/>
  </cols>
  <sheetData>
    <row r="1" spans="1:3" x14ac:dyDescent="0.4">
      <c r="A1" t="s">
        <v>530</v>
      </c>
    </row>
    <row r="3" spans="1:3" x14ac:dyDescent="0.4">
      <c r="A3" s="2" t="s">
        <v>0</v>
      </c>
      <c r="B3" s="2" t="s">
        <v>524</v>
      </c>
      <c r="C3" s="2" t="s">
        <v>525</v>
      </c>
    </row>
    <row r="4" spans="1:3" x14ac:dyDescent="0.4">
      <c r="A4" t="s">
        <v>8</v>
      </c>
      <c r="B4" s="3">
        <v>136070900</v>
      </c>
      <c r="C4" s="5">
        <v>8.9368263449833688E-2</v>
      </c>
    </row>
    <row r="5" spans="1:3" x14ac:dyDescent="0.4">
      <c r="A5" t="s">
        <v>9</v>
      </c>
      <c r="B5" s="3">
        <v>310592800</v>
      </c>
      <c r="C5" s="5">
        <v>0.3307025256511445</v>
      </c>
    </row>
    <row r="6" spans="1:3" x14ac:dyDescent="0.4">
      <c r="A6" t="s">
        <v>10</v>
      </c>
      <c r="B6" s="3">
        <v>35796200</v>
      </c>
      <c r="C6" s="5">
        <v>1.9944583879093196</v>
      </c>
    </row>
    <row r="7" spans="1:3" x14ac:dyDescent="0.4">
      <c r="A7" t="s">
        <v>11</v>
      </c>
      <c r="B7" s="3">
        <v>221772100</v>
      </c>
      <c r="C7" s="4">
        <v>1.2952380952380953</v>
      </c>
    </row>
    <row r="8" spans="1:3" x14ac:dyDescent="0.4">
      <c r="A8" t="s">
        <v>12</v>
      </c>
      <c r="B8" s="3">
        <v>684181400</v>
      </c>
      <c r="C8" s="5">
        <v>1.0131185148145945</v>
      </c>
    </row>
    <row r="9" spans="1:3" x14ac:dyDescent="0.4">
      <c r="A9" t="s">
        <v>13</v>
      </c>
      <c r="B9" s="3">
        <v>80949300</v>
      </c>
      <c r="C9" s="5">
        <v>0.25836808272133477</v>
      </c>
    </row>
    <row r="10" spans="1:3" x14ac:dyDescent="0.4">
      <c r="A10" t="s">
        <v>14</v>
      </c>
      <c r="B10" s="3">
        <v>191632200</v>
      </c>
      <c r="C10" s="5">
        <v>0.53870754958413303</v>
      </c>
    </row>
    <row r="11" spans="1:3" x14ac:dyDescent="0.4">
      <c r="A11" t="s">
        <v>15</v>
      </c>
      <c r="B11" s="3">
        <v>267681300</v>
      </c>
      <c r="C11" s="4">
        <v>5.5456171735241595E-2</v>
      </c>
    </row>
    <row r="12" spans="1:3" x14ac:dyDescent="0.4">
      <c r="A12" t="s">
        <v>16</v>
      </c>
      <c r="B12" s="3">
        <v>206885200</v>
      </c>
      <c r="C12" s="5">
        <v>1.8446968939393942</v>
      </c>
    </row>
    <row r="13" spans="1:3" x14ac:dyDescent="0.4">
      <c r="A13" t="s">
        <v>17</v>
      </c>
      <c r="B13" s="3">
        <v>782187000</v>
      </c>
      <c r="C13" s="5">
        <v>0.23065693430656936</v>
      </c>
    </row>
    <row r="14" spans="1:3" x14ac:dyDescent="0.4">
      <c r="A14" t="s">
        <v>18</v>
      </c>
      <c r="B14" s="3">
        <v>139402800</v>
      </c>
      <c r="C14" s="5">
        <v>-7.2148952676493378E-2</v>
      </c>
    </row>
    <row r="15" spans="1:3" x14ac:dyDescent="0.4">
      <c r="A15" t="s">
        <v>19</v>
      </c>
      <c r="B15" s="3">
        <v>109487900</v>
      </c>
      <c r="C15" s="5">
        <v>0.49999999999999983</v>
      </c>
    </row>
    <row r="19" spans="10:21" x14ac:dyDescent="0.4">
      <c r="K19">
        <v>2017</v>
      </c>
      <c r="L19">
        <v>2017</v>
      </c>
      <c r="M19">
        <v>2018</v>
      </c>
      <c r="N19">
        <v>2018</v>
      </c>
      <c r="O19" t="s">
        <v>528</v>
      </c>
      <c r="P19" t="s">
        <v>528</v>
      </c>
    </row>
    <row r="20" spans="10:21" x14ac:dyDescent="0.4">
      <c r="J20" s="2" t="s">
        <v>0</v>
      </c>
      <c r="K20" s="2" t="s">
        <v>524</v>
      </c>
      <c r="L20" s="2" t="s">
        <v>525</v>
      </c>
      <c r="M20" s="2" t="s">
        <v>524</v>
      </c>
      <c r="N20" s="2" t="s">
        <v>525</v>
      </c>
      <c r="O20" s="6" t="s">
        <v>526</v>
      </c>
      <c r="P20" s="6" t="s">
        <v>527</v>
      </c>
    </row>
    <row r="21" spans="10:21" x14ac:dyDescent="0.4">
      <c r="J21" t="s">
        <v>8</v>
      </c>
      <c r="K21" s="3">
        <v>136070900</v>
      </c>
      <c r="L21" s="4">
        <v>8.9368253946304321E-2</v>
      </c>
      <c r="M21" s="3">
        <v>83079900</v>
      </c>
      <c r="N21" s="5">
        <v>-7.2847634553909302E-2</v>
      </c>
      <c r="O21" s="7">
        <f>(M21-K21)/K21</f>
        <v>-0.38943668337609288</v>
      </c>
      <c r="P21" s="7">
        <f>N21-L21</f>
        <v>-0.16221588850021362</v>
      </c>
      <c r="S21" s="3"/>
      <c r="U21" s="3"/>
    </row>
    <row r="22" spans="10:21" x14ac:dyDescent="0.4">
      <c r="J22" t="s">
        <v>9</v>
      </c>
      <c r="K22" s="3">
        <v>310592800</v>
      </c>
      <c r="L22" s="4">
        <v>0.33070248365402222</v>
      </c>
      <c r="M22" s="3">
        <v>200879900</v>
      </c>
      <c r="N22" s="5">
        <v>-0.16336052119731903</v>
      </c>
      <c r="O22" s="7">
        <f t="shared" ref="O22:O32" si="0">(M22-K22)/K22</f>
        <v>-0.35323710015170989</v>
      </c>
      <c r="P22" s="7">
        <f t="shared" ref="P22:P32" si="1">N22-L22</f>
        <v>-0.49406300485134125</v>
      </c>
      <c r="S22" s="3"/>
    </row>
    <row r="23" spans="10:21" x14ac:dyDescent="0.4">
      <c r="J23" t="s">
        <v>10</v>
      </c>
      <c r="K23" s="3">
        <v>35796200</v>
      </c>
      <c r="L23" s="4">
        <v>1.9944583177566528</v>
      </c>
      <c r="M23" s="3">
        <v>107873900</v>
      </c>
      <c r="N23" s="5">
        <v>-0.62601888179779053</v>
      </c>
      <c r="O23" s="7">
        <f t="shared" si="0"/>
        <v>2.0135573049653317</v>
      </c>
      <c r="P23" s="7">
        <f t="shared" si="1"/>
        <v>-2.6204771995544434</v>
      </c>
      <c r="S23" s="3"/>
    </row>
    <row r="24" spans="10:21" x14ac:dyDescent="0.4">
      <c r="J24" t="s">
        <v>11</v>
      </c>
      <c r="K24" s="3">
        <v>221772100</v>
      </c>
      <c r="L24" s="4">
        <v>1.2952382564544678</v>
      </c>
      <c r="M24" s="3">
        <v>607473500</v>
      </c>
      <c r="N24" s="4">
        <v>0.81923085451126099</v>
      </c>
      <c r="O24" s="7">
        <f t="shared" si="0"/>
        <v>1.7391790942142857</v>
      </c>
      <c r="P24" s="7">
        <f t="shared" si="1"/>
        <v>-0.47600740194320679</v>
      </c>
      <c r="Q24" t="s">
        <v>529</v>
      </c>
      <c r="S24" s="3"/>
    </row>
    <row r="25" spans="10:21" x14ac:dyDescent="0.4">
      <c r="J25" t="s">
        <v>12</v>
      </c>
      <c r="K25" s="3">
        <v>684181400</v>
      </c>
      <c r="L25" s="4">
        <v>1.0131185054779053</v>
      </c>
      <c r="M25" s="3">
        <v>478113900</v>
      </c>
      <c r="N25" s="5">
        <v>-0.39713191986083984</v>
      </c>
      <c r="O25" s="7">
        <f t="shared" si="0"/>
        <v>-0.3011883982815084</v>
      </c>
      <c r="P25" s="7">
        <f t="shared" si="1"/>
        <v>-1.4102504253387451</v>
      </c>
      <c r="S25" s="3"/>
    </row>
    <row r="26" spans="10:21" x14ac:dyDescent="0.4">
      <c r="J26" t="s">
        <v>13</v>
      </c>
      <c r="K26" s="3">
        <v>80949300</v>
      </c>
      <c r="L26" s="4">
        <v>0.2583681046962738</v>
      </c>
      <c r="M26" s="3">
        <v>104340600</v>
      </c>
      <c r="N26" s="5">
        <v>-0.20658062398433685</v>
      </c>
      <c r="O26" s="7">
        <f t="shared" si="0"/>
        <v>0.28896235050828112</v>
      </c>
      <c r="P26" s="7">
        <f t="shared" si="1"/>
        <v>-0.46494872868061066</v>
      </c>
      <c r="S26" s="3"/>
    </row>
    <row r="27" spans="10:21" x14ac:dyDescent="0.4">
      <c r="J27" t="s">
        <v>14</v>
      </c>
      <c r="K27" s="3">
        <v>191632200</v>
      </c>
      <c r="L27" s="4">
        <v>0.53870755434036255</v>
      </c>
      <c r="M27" s="3">
        <v>158309000</v>
      </c>
      <c r="N27" s="5">
        <v>-0.6053471565246582</v>
      </c>
      <c r="O27" s="7">
        <f t="shared" si="0"/>
        <v>-0.17389144413099678</v>
      </c>
      <c r="P27" s="7">
        <f t="shared" si="1"/>
        <v>-1.1440547108650208</v>
      </c>
      <c r="S27" s="3"/>
    </row>
    <row r="28" spans="10:21" x14ac:dyDescent="0.4">
      <c r="J28" t="s">
        <v>15</v>
      </c>
      <c r="K28" s="3">
        <v>267681300</v>
      </c>
      <c r="L28" s="4">
        <v>5.5456161499023438E-2</v>
      </c>
      <c r="M28" s="3">
        <v>502757100</v>
      </c>
      <c r="N28" s="4">
        <v>0.83952707052230835</v>
      </c>
      <c r="O28" s="8">
        <f t="shared" si="0"/>
        <v>0.87819283603299891</v>
      </c>
      <c r="P28" s="8">
        <f t="shared" si="1"/>
        <v>0.78407090902328491</v>
      </c>
      <c r="Q28" t="s">
        <v>529</v>
      </c>
      <c r="S28" s="3"/>
    </row>
    <row r="29" spans="10:21" x14ac:dyDescent="0.4">
      <c r="J29" t="s">
        <v>16</v>
      </c>
      <c r="K29" s="3">
        <v>206885200</v>
      </c>
      <c r="L29" s="4">
        <v>1.8446969985961914</v>
      </c>
      <c r="M29" s="3">
        <v>237212300</v>
      </c>
      <c r="N29" s="5">
        <v>-7.7529586851596832E-2</v>
      </c>
      <c r="O29" s="7">
        <f t="shared" si="0"/>
        <v>0.14658902618456998</v>
      </c>
      <c r="P29" s="7">
        <f t="shared" si="1"/>
        <v>-1.9222265854477882</v>
      </c>
      <c r="S29" s="3"/>
    </row>
    <row r="30" spans="10:21" x14ac:dyDescent="0.4">
      <c r="J30" t="s">
        <v>17</v>
      </c>
      <c r="K30" s="3">
        <v>782187000</v>
      </c>
      <c r="L30" s="4">
        <v>0.23065699636936188</v>
      </c>
      <c r="M30" s="3">
        <v>538024300</v>
      </c>
      <c r="N30" s="5">
        <v>-0.44593092799186707</v>
      </c>
      <c r="O30" s="7">
        <f t="shared" si="0"/>
        <v>-0.31215387113311777</v>
      </c>
      <c r="P30" s="7">
        <f t="shared" si="1"/>
        <v>-0.67658792436122894</v>
      </c>
      <c r="S30" s="3"/>
    </row>
    <row r="31" spans="10:21" x14ac:dyDescent="0.4">
      <c r="J31" t="s">
        <v>18</v>
      </c>
      <c r="K31" s="3">
        <v>139402800</v>
      </c>
      <c r="L31" s="5">
        <v>-7.2148971259593964E-2</v>
      </c>
      <c r="M31" s="3">
        <v>151434700</v>
      </c>
      <c r="N31" s="5">
        <v>-4.9957673996686935E-2</v>
      </c>
      <c r="O31" s="8">
        <f t="shared" si="0"/>
        <v>8.6310318013698428E-2</v>
      </c>
      <c r="P31" s="8">
        <f t="shared" si="1"/>
        <v>2.2191297262907028E-2</v>
      </c>
      <c r="S31" s="3"/>
    </row>
    <row r="32" spans="10:21" x14ac:dyDescent="0.4">
      <c r="J32" t="s">
        <v>19</v>
      </c>
      <c r="K32" s="3">
        <v>109487900</v>
      </c>
      <c r="L32" s="4">
        <v>0.50000005960464478</v>
      </c>
      <c r="M32" s="3">
        <v>136539100</v>
      </c>
      <c r="N32" s="5">
        <v>-3.5443063825368881E-2</v>
      </c>
      <c r="O32" s="7">
        <f t="shared" si="0"/>
        <v>0.24707022419829042</v>
      </c>
      <c r="P32" s="7">
        <f t="shared" si="1"/>
        <v>-0.53544312343001366</v>
      </c>
      <c r="S32" s="3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rWorksheet">
                <anchor moveWithCells="1">
                  <from>
                    <xdr:col>5</xdr:col>
                    <xdr:colOff>163286</xdr:colOff>
                    <xdr:row>3</xdr:row>
                    <xdr:rowOff>108857</xdr:rowOff>
                  </from>
                  <to>
                    <xdr:col>8</xdr:col>
                    <xdr:colOff>315686</xdr:colOff>
                    <xdr:row>7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AllStocksAnalysis">
                <anchor moveWithCells="1">
                  <from>
                    <xdr:col>5</xdr:col>
                    <xdr:colOff>217714</xdr:colOff>
                    <xdr:row>9</xdr:row>
                    <xdr:rowOff>38100</xdr:rowOff>
                  </from>
                  <to>
                    <xdr:col>8</xdr:col>
                    <xdr:colOff>283029</xdr:colOff>
                    <xdr:row>12</xdr:row>
                    <xdr:rowOff>119743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4375" defaultRowHeight="14.6" x14ac:dyDescent="0.4"/>
  <sheetData>
    <row r="1" spans="1: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4375" defaultRowHeight="14.6" x14ac:dyDescent="0.4"/>
  <cols>
    <col min="2" max="2" width="10.07421875" bestFit="1" customWidth="1"/>
  </cols>
  <sheetData>
    <row r="1" spans="1: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CEB4A6AE-3DF5-4137-9BD2-F92A2097CE4C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FBE93-6A33-418D-BFEA-386A8D131EC4}">
  <sheetPr codeName="Sheet4"/>
  <dimension ref="A1:J1"/>
  <sheetViews>
    <sheetView workbookViewId="0">
      <selection activeCell="N17" sqref="N17"/>
    </sheetView>
  </sheetViews>
  <sheetFormatPr defaultRowHeight="14.6" x14ac:dyDescent="0.4"/>
  <sheetData>
    <row r="1" spans="1:10" x14ac:dyDescent="0.4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7CAD3-11A7-4831-B9A0-290A864F157F}">
  <sheetPr codeName="Sheet3"/>
  <dimension ref="A1:C4"/>
  <sheetViews>
    <sheetView topLeftCell="A2" workbookViewId="0">
      <selection activeCell="J19" sqref="J19"/>
    </sheetView>
  </sheetViews>
  <sheetFormatPr defaultRowHeight="14.6" x14ac:dyDescent="0.4"/>
  <cols>
    <col min="2" max="2" width="16.3828125" bestFit="1" customWidth="1"/>
  </cols>
  <sheetData>
    <row r="1" spans="1:3" x14ac:dyDescent="0.4">
      <c r="A1" t="s">
        <v>522</v>
      </c>
    </row>
    <row r="3" spans="1:3" x14ac:dyDescent="0.4">
      <c r="A3" t="s">
        <v>523</v>
      </c>
      <c r="B3" t="s">
        <v>524</v>
      </c>
      <c r="C3" t="s">
        <v>525</v>
      </c>
    </row>
    <row r="4" spans="1:3" x14ac:dyDescent="0.4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>
                  <from>
                    <xdr:col>5</xdr:col>
                    <xdr:colOff>125186</xdr:colOff>
                    <xdr:row>3</xdr:row>
                    <xdr:rowOff>92529</xdr:rowOff>
                  </from>
                  <to>
                    <xdr:col>8</xdr:col>
                    <xdr:colOff>261257</xdr:colOff>
                    <xdr:row>7</xdr:row>
                    <xdr:rowOff>130629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>
                  <from>
                    <xdr:col>5</xdr:col>
                    <xdr:colOff>70757</xdr:colOff>
                    <xdr:row>8</xdr:row>
                    <xdr:rowOff>97971</xdr:rowOff>
                  </from>
                  <to>
                    <xdr:col>8</xdr:col>
                    <xdr:colOff>266700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 Stocks Analysis</vt:lpstr>
      <vt:lpstr>analysis</vt:lpstr>
      <vt:lpstr>2017</vt:lpstr>
      <vt:lpstr>2018</vt:lpstr>
      <vt:lpstr>test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Alejandra Lee</dc:creator>
  <cp:lastModifiedBy>Alejandra Lee</cp:lastModifiedBy>
  <cp:lastPrinted>2022-01-31T21:35:46Z</cp:lastPrinted>
  <dcterms:created xsi:type="dcterms:W3CDTF">2019-05-02T20:23:55Z</dcterms:created>
  <dcterms:modified xsi:type="dcterms:W3CDTF">2022-02-06T18:05:26Z</dcterms:modified>
</cp:coreProperties>
</file>